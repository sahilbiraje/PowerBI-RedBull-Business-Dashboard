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16815" windowHeight="7635" activeTab="6"/>
  </bookViews>
  <sheets>
    <sheet name="Annual_Revenue" sheetId="1" r:id="rId1"/>
    <sheet name="Revenue_by_Region" sheetId="2" r:id="rId2"/>
    <sheet name="Market_Share" sheetId="3" r:id="rId3"/>
    <sheet name="Marketing_Spend" sheetId="4" r:id="rId4"/>
    <sheet name="Revenue_Streams" sheetId="5" r:id="rId5"/>
    <sheet name="Quarterly_Sales" sheetId="6" r:id="rId6"/>
    <sheet name="KPI_Summary" sheetId="7" r:id="rId7"/>
  </sheets>
  <calcPr calcId="152511"/>
</workbook>
</file>

<file path=xl/calcChain.xml><?xml version="1.0" encoding="utf-8"?>
<calcChain xmlns="http://schemas.openxmlformats.org/spreadsheetml/2006/main">
  <c r="F15" i="6" l="1"/>
  <c r="E15" i="6"/>
  <c r="F14" i="6"/>
  <c r="E14" i="6"/>
  <c r="F13" i="6"/>
  <c r="E13" i="6"/>
  <c r="F12" i="6"/>
  <c r="E12" i="6"/>
  <c r="F11" i="6"/>
  <c r="E11" i="6"/>
  <c r="F10" i="6"/>
  <c r="E10" i="6"/>
  <c r="F9" i="6"/>
  <c r="E9" i="6"/>
  <c r="F8" i="6"/>
  <c r="E8" i="6"/>
  <c r="E7" i="6"/>
  <c r="E6" i="6"/>
  <c r="E5" i="6"/>
  <c r="C14" i="5"/>
  <c r="D13" i="5"/>
  <c r="D12" i="5"/>
  <c r="D11" i="5"/>
  <c r="D10" i="5"/>
  <c r="D9" i="5"/>
  <c r="D8" i="5"/>
  <c r="D7" i="5"/>
  <c r="D6" i="5"/>
  <c r="D5" i="5"/>
  <c r="D4" i="5"/>
  <c r="D14" i="5" s="1"/>
  <c r="B13" i="4"/>
  <c r="C12" i="4"/>
  <c r="C11" i="4"/>
  <c r="C10" i="4"/>
  <c r="C9" i="4"/>
  <c r="C8" i="4"/>
  <c r="C7" i="4"/>
  <c r="C6" i="4"/>
  <c r="C5" i="4"/>
  <c r="C4" i="4"/>
  <c r="C13" i="4" s="1"/>
  <c r="E10" i="2"/>
  <c r="D10" i="2"/>
  <c r="B10" i="2"/>
  <c r="C9" i="2"/>
  <c r="C8" i="2"/>
  <c r="C7" i="2"/>
  <c r="C6" i="2"/>
  <c r="C5" i="2"/>
  <c r="C4" i="2"/>
  <c r="C10" i="2" s="1"/>
  <c r="G12" i="1"/>
  <c r="F12" i="1"/>
  <c r="E12" i="1"/>
  <c r="D12" i="1"/>
  <c r="C12" i="1"/>
  <c r="B12" i="1"/>
  <c r="E11" i="1"/>
  <c r="C11" i="1"/>
  <c r="E10" i="1"/>
  <c r="C10" i="1"/>
  <c r="E9" i="1"/>
  <c r="C9" i="1"/>
  <c r="E8" i="1"/>
  <c r="C8" i="1"/>
  <c r="E7" i="1"/>
  <c r="C7" i="1"/>
  <c r="E6" i="1"/>
  <c r="C6" i="1"/>
  <c r="E5" i="1"/>
  <c r="C5" i="1"/>
  <c r="E4" i="1"/>
</calcChain>
</file>

<file path=xl/sharedStrings.xml><?xml version="1.0" encoding="utf-8"?>
<sst xmlns="http://schemas.openxmlformats.org/spreadsheetml/2006/main" count="202" uniqueCount="155">
  <si>
    <t>Red Bull GmbH — Annual Revenue &amp; Key Metrics</t>
  </si>
  <si>
    <t>Source: Company Reports &amp; Industry Estimates (2017–2024)</t>
  </si>
  <si>
    <t>Year</t>
  </si>
  <si>
    <t>Revenue ($M)</t>
  </si>
  <si>
    <t>YoY Growth (%)</t>
  </si>
  <si>
    <t>EBITDA ($M)</t>
  </si>
  <si>
    <t>EBITDA Margin (%)</t>
  </si>
  <si>
    <t>Cans Sold (B)</t>
  </si>
  <si>
    <t>Employees</t>
  </si>
  <si>
    <t>2017</t>
  </si>
  <si>
    <t>-</t>
  </si>
  <si>
    <t>2018</t>
  </si>
  <si>
    <t>2019</t>
  </si>
  <si>
    <t>2020</t>
  </si>
  <si>
    <t>2021</t>
  </si>
  <si>
    <t>2022</t>
  </si>
  <si>
    <t>2023</t>
  </si>
  <si>
    <t>2024</t>
  </si>
  <si>
    <t>TOTAL / AVG</t>
  </si>
  <si>
    <t>Red Bull — Revenue by Region (2024)</t>
  </si>
  <si>
    <t>Geographic breakdown of $11.2B global revenue</t>
  </si>
  <si>
    <t>Region</t>
  </si>
  <si>
    <t>Revenue Share (%)</t>
  </si>
  <si>
    <t>Europe</t>
  </si>
  <si>
    <t>North America</t>
  </si>
  <si>
    <t>Asia Pacific</t>
  </si>
  <si>
    <t>Latin America</t>
  </si>
  <si>
    <t>Middle East &amp; Africa</t>
  </si>
  <si>
    <t>Rest of World</t>
  </si>
  <si>
    <t>GLOBAL TOTAL</t>
  </si>
  <si>
    <t>Energy Drink Market Share — Global (2024)</t>
  </si>
  <si>
    <t>Competitor analysis: Volume &amp; Value share</t>
  </si>
  <si>
    <t>Brand</t>
  </si>
  <si>
    <t>Parent Company</t>
  </si>
  <si>
    <t>Market Share — Value (%)</t>
  </si>
  <si>
    <t>Market Share — Volume (%)</t>
  </si>
  <si>
    <t>Est. Revenue ($B)</t>
  </si>
  <si>
    <t>Red Bull</t>
  </si>
  <si>
    <t>Red Bull GmbH</t>
  </si>
  <si>
    <t>Monster</t>
  </si>
  <si>
    <t>Coca-Cola / Monster</t>
  </si>
  <si>
    <t>Rockstar</t>
  </si>
  <si>
    <t>PepsiCo</t>
  </si>
  <si>
    <t>NOS</t>
  </si>
  <si>
    <t>Monster Beverage</t>
  </si>
  <si>
    <t>5-hour Energy</t>
  </si>
  <si>
    <t>Living Essentials</t>
  </si>
  <si>
    <t>Reign</t>
  </si>
  <si>
    <t>Celsius</t>
  </si>
  <si>
    <t>Celsius Holdings</t>
  </si>
  <si>
    <t>Others</t>
  </si>
  <si>
    <t>Various</t>
  </si>
  <si>
    <t>Red Bull — Marketing &amp; Sponsorship Spend (2024)</t>
  </si>
  <si>
    <t>Breakdown of ~$2.4B annual marketing investment</t>
  </si>
  <si>
    <t>Category</t>
  </si>
  <si>
    <t>Spend ($M)</t>
  </si>
  <si>
    <t>% of Revenue</t>
  </si>
  <si>
    <t>Key Activities</t>
  </si>
  <si>
    <t>Motorsports (F1, MotoGP)</t>
  </si>
  <si>
    <t>Red Bull Racing, AlphaTauri — 2 F1 teams</t>
  </si>
  <si>
    <t>Extreme Sports Events</t>
  </si>
  <si>
    <t>Crashed Ice, Cliff Diving, Air Race, Rampage</t>
  </si>
  <si>
    <t>Music &amp; Culture</t>
  </si>
  <si>
    <t>Red Bull Music Academy, festivals, DJs</t>
  </si>
  <si>
    <t>Football / Soccer</t>
  </si>
  <si>
    <t>RB Leipzig, NY Red Bulls, FC Salzburg, Bragantino</t>
  </si>
  <si>
    <t>Digital &amp; Social Media</t>
  </si>
  <si>
    <t>YouTube (14M subs), Instagram, TikTok campaigns</t>
  </si>
  <si>
    <t>Traditional Advertising</t>
  </si>
  <si>
    <t>TV, out-of-home, print in key markets</t>
  </si>
  <si>
    <t>Athlete Sponsorships</t>
  </si>
  <si>
    <t>600+ athletes across 100+ sports globally</t>
  </si>
  <si>
    <t>Esports &amp; Gaming</t>
  </si>
  <si>
    <t>Red Bull Gaming, OGA Dota PIT, league partnerships</t>
  </si>
  <si>
    <t>Content Production</t>
  </si>
  <si>
    <t>Red Bull TV, documentary films, original series</t>
  </si>
  <si>
    <t>TOTAL MARKETING</t>
  </si>
  <si>
    <t>~21.4% of revenue invested in brand &amp; marketing</t>
  </si>
  <si>
    <t>Red Bull — Revenue Streams by Business Unit</t>
  </si>
  <si>
    <t>How Red Bull makes money beyond just selling cans</t>
  </si>
  <si>
    <t>Revenue Stream</t>
  </si>
  <si>
    <t>Type</t>
  </si>
  <si>
    <t>Est. Revenue ($M)</t>
  </si>
  <si>
    <t>% of Total</t>
  </si>
  <si>
    <t>Growth Stage</t>
  </si>
  <si>
    <t>Energy Drink Sales — Standard (250ml)</t>
  </si>
  <si>
    <t>Product</t>
  </si>
  <si>
    <t>Mature</t>
  </si>
  <si>
    <t>Energy Drink Sales — Editions &amp; Sugar Free</t>
  </si>
  <si>
    <t>Growing</t>
  </si>
  <si>
    <t>Energy Drink Sales — Organics by Red Bull</t>
  </si>
  <si>
    <t>Emerging</t>
  </si>
  <si>
    <t>Red Bull TV &amp; Media Licensing</t>
  </si>
  <si>
    <t>Media</t>
  </si>
  <si>
    <t>Event Ticket Sales &amp; Live Events</t>
  </si>
  <si>
    <t>Events</t>
  </si>
  <si>
    <t>Athlete Management &amp; Agency Fees</t>
  </si>
  <si>
    <t>Services</t>
  </si>
  <si>
    <t>Niche</t>
  </si>
  <si>
    <t>Merchandise &amp; Apparel</t>
  </si>
  <si>
    <t>Retail</t>
  </si>
  <si>
    <t>Formula 1 Team (prize money + sponsors)</t>
  </si>
  <si>
    <t>Sports</t>
  </si>
  <si>
    <t>Content &amp; Distribution Deals</t>
  </si>
  <si>
    <t>Licensing &amp; Co-branding</t>
  </si>
  <si>
    <t>Licensing</t>
  </si>
  <si>
    <t>TOTAL REVENUE</t>
  </si>
  <si>
    <t>Red Bull — Quarterly Sales Trend (2022–2024)</t>
  </si>
  <si>
    <t>Seasonality analysis — Q4 and Q2 are peak quarters</t>
  </si>
  <si>
    <t>Quarter</t>
  </si>
  <si>
    <t>Cans Sold (M)</t>
  </si>
  <si>
    <t>QoQ Growth (%)</t>
  </si>
  <si>
    <t>Q1</t>
  </si>
  <si>
    <t>Q2</t>
  </si>
  <si>
    <t>Q3</t>
  </si>
  <si>
    <t>Q4</t>
  </si>
  <si>
    <t>Red Bull — KPI Dashboard Summary (2024)</t>
  </si>
  <si>
    <t>Load this sheet first in Power BI for headline metrics</t>
  </si>
  <si>
    <t>KPI</t>
  </si>
  <si>
    <t>Value</t>
  </si>
  <si>
    <t>Unit</t>
  </si>
  <si>
    <t>Notes</t>
  </si>
  <si>
    <t>Total Revenue</t>
  </si>
  <si>
    <t>$M</t>
  </si>
  <si>
    <t>FY2024 estimated</t>
  </si>
  <si>
    <t>Revenue Growth (YoY)</t>
  </si>
  <si>
    <t>%</t>
  </si>
  <si>
    <t>vs FY2023</t>
  </si>
  <si>
    <t>Cans Sold</t>
  </si>
  <si>
    <t>Billion</t>
  </si>
  <si>
    <t>Global volume</t>
  </si>
  <si>
    <t>EBITDA</t>
  </si>
  <si>
    <t>~26% margin</t>
  </si>
  <si>
    <t>EBITDA Margin</t>
  </si>
  <si>
    <t>Industry-leading</t>
  </si>
  <si>
    <t>Markets Active</t>
  </si>
  <si>
    <t>Countries</t>
  </si>
  <si>
    <t>Global distribution</t>
  </si>
  <si>
    <t>Total Employees</t>
  </si>
  <si>
    <t>People</t>
  </si>
  <si>
    <t>Dec 2024</t>
  </si>
  <si>
    <t>Marketing Spend</t>
  </si>
  <si>
    <t>~21.4% of revenue</t>
  </si>
  <si>
    <t>Avg Revenue per Can</t>
  </si>
  <si>
    <t>$</t>
  </si>
  <si>
    <t>Revenue / cans sold</t>
  </si>
  <si>
    <t>Market Share (Value)</t>
  </si>
  <si>
    <t>Global energy drink market</t>
  </si>
  <si>
    <t>F1 Championships</t>
  </si>
  <si>
    <t>Count</t>
  </si>
  <si>
    <t>Constructor titles (RBR)</t>
  </si>
  <si>
    <t>Athletes Sponsored</t>
  </si>
  <si>
    <t>Across 100+ sports</t>
  </si>
  <si>
    <t>Countries in Top 10</t>
  </si>
  <si>
    <t>By revenue contribution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</si>
</sst>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%"/>
    <numFmt numFmtId="165" formatCode="\$#,##0"/>
    <numFmt numFmtId="166" formatCode="0.000"/>
    <numFmt numFmtId="167" formatCode="\$#,##0.0"/>
    <numFmt numFmtId="168" formatCode="\$0.000"/>
  </numFmts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10"/>
      <color rgb="FFFFFFFF"/>
      <name val="Arial"/>
    </font>
    <font>
      <b/>
      <sz val="11"/>
      <color rgb="FFFFFFFF"/>
      <name val="Arial"/>
    </font>
    <font>
      <sz val="10"/>
      <color rgb="FF000000"/>
      <name val="Arial"/>
    </font>
    <font>
      <b/>
      <sz val="10"/>
      <color rgb="FF2C2C2C"/>
      <name val="Arial"/>
    </font>
    <font>
      <b/>
      <sz val="10"/>
      <name val="Arial"/>
    </font>
    <font>
      <b/>
      <sz val="10"/>
      <color rgb="FF8B0000"/>
      <name val="Arial"/>
    </font>
  </fonts>
  <fills count="15">
    <fill>
      <patternFill patternType="none"/>
    </fill>
    <fill>
      <patternFill patternType="gray125"/>
    </fill>
    <fill>
      <patternFill patternType="solid">
        <fgColor rgb="FF2C2C2C"/>
      </patternFill>
    </fill>
    <fill>
      <patternFill patternType="solid">
        <fgColor rgb="FFCC1E27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8B0000"/>
      </patternFill>
    </fill>
    <fill>
      <patternFill patternType="solid">
        <fgColor rgb="FFFDECEA"/>
      </patternFill>
    </fill>
    <fill>
      <patternFill patternType="solid">
        <fgColor rgb="FFE8F5E9"/>
      </patternFill>
    </fill>
    <fill>
      <patternFill patternType="solid">
        <fgColor rgb="FFE3F2FD"/>
      </patternFill>
    </fill>
    <fill>
      <patternFill patternType="solid">
        <fgColor rgb="FFFFF8E1"/>
      </patternFill>
    </fill>
    <fill>
      <patternFill patternType="solid">
        <fgColor rgb="FFF3E5F5"/>
      </patternFill>
    </fill>
    <fill>
      <patternFill patternType="solid">
        <fgColor rgb="FFE0F7FA"/>
      </patternFill>
    </fill>
    <fill>
      <patternFill patternType="solid">
        <fgColor rgb="FFFCE4EC"/>
      </patternFill>
    </fill>
    <fill>
      <patternFill patternType="solid">
        <fgColor rgb="FFFBE9E7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65" fontId="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166" fontId="4" fillId="4" borderId="1" xfId="0" applyNumberFormat="1" applyFont="1" applyFill="1" applyBorder="1" applyAlignment="1">
      <alignment horizontal="center" vertical="center"/>
    </xf>
    <xf numFmtId="3" fontId="4" fillId="4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165" fontId="4" fillId="5" borderId="1" xfId="0" applyNumberFormat="1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166" fontId="4" fillId="5" borderId="1" xfId="0" applyNumberFormat="1" applyFont="1" applyFill="1" applyBorder="1" applyAlignment="1">
      <alignment horizontal="center" vertical="center"/>
    </xf>
    <xf numFmtId="3" fontId="4" fillId="5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165" fontId="3" fillId="6" borderId="1" xfId="0" applyNumberFormat="1" applyFont="1" applyFill="1" applyBorder="1" applyAlignment="1">
      <alignment horizontal="center" vertical="center"/>
    </xf>
    <xf numFmtId="164" fontId="3" fillId="6" borderId="1" xfId="0" applyNumberFormat="1" applyFont="1" applyFill="1" applyBorder="1" applyAlignment="1">
      <alignment horizontal="center" vertical="center"/>
    </xf>
    <xf numFmtId="166" fontId="3" fillId="6" borderId="1" xfId="0" applyNumberFormat="1" applyFont="1" applyFill="1" applyBorder="1" applyAlignment="1">
      <alignment horizontal="center" vertical="center"/>
    </xf>
    <xf numFmtId="3" fontId="3" fillId="6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2" fontId="4" fillId="4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2" fontId="4" fillId="5" borderId="1" xfId="0" applyNumberFormat="1" applyFont="1" applyFill="1" applyBorder="1" applyAlignment="1">
      <alignment horizontal="center" vertical="center"/>
    </xf>
    <xf numFmtId="2" fontId="3" fillId="6" borderId="1" xfId="0" applyNumberFormat="1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left"/>
    </xf>
    <xf numFmtId="0" fontId="4" fillId="7" borderId="1" xfId="0" applyFont="1" applyFill="1" applyBorder="1" applyAlignment="1">
      <alignment horizontal="left"/>
    </xf>
    <xf numFmtId="164" fontId="4" fillId="7" borderId="1" xfId="0" applyNumberFormat="1" applyFont="1" applyFill="1" applyBorder="1" applyAlignment="1">
      <alignment horizontal="center" vertical="center"/>
    </xf>
    <xf numFmtId="167" fontId="4" fillId="7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/>
    </xf>
    <xf numFmtId="167" fontId="4" fillId="5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/>
    </xf>
    <xf numFmtId="167" fontId="4" fillId="4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/>
    </xf>
    <xf numFmtId="0" fontId="4" fillId="8" borderId="1" xfId="0" applyFont="1" applyFill="1" applyBorder="1" applyAlignment="1">
      <alignment horizontal="left"/>
    </xf>
    <xf numFmtId="165" fontId="4" fillId="8" borderId="1" xfId="0" applyNumberFormat="1" applyFont="1" applyFill="1" applyBorder="1" applyAlignment="1">
      <alignment horizontal="center" vertical="center"/>
    </xf>
    <xf numFmtId="164" fontId="4" fillId="8" borderId="1" xfId="0" applyNumberFormat="1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left"/>
    </xf>
    <xf numFmtId="165" fontId="4" fillId="9" borderId="1" xfId="0" applyNumberFormat="1" applyFont="1" applyFill="1" applyBorder="1" applyAlignment="1">
      <alignment horizontal="center" vertical="center"/>
    </xf>
    <xf numFmtId="164" fontId="4" fillId="9" borderId="1" xfId="0" applyNumberFormat="1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left"/>
    </xf>
    <xf numFmtId="165" fontId="4" fillId="10" borderId="1" xfId="0" applyNumberFormat="1" applyFont="1" applyFill="1" applyBorder="1" applyAlignment="1">
      <alignment horizontal="center" vertical="center"/>
    </xf>
    <xf numFmtId="164" fontId="4" fillId="10" borderId="1" xfId="0" applyNumberFormat="1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left"/>
    </xf>
    <xf numFmtId="165" fontId="4" fillId="11" borderId="1" xfId="0" applyNumberFormat="1" applyFont="1" applyFill="1" applyBorder="1" applyAlignment="1">
      <alignment horizontal="center" vertical="center"/>
    </xf>
    <xf numFmtId="164" fontId="4" fillId="11" borderId="1" xfId="0" applyNumberFormat="1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left"/>
    </xf>
    <xf numFmtId="165" fontId="4" fillId="12" borderId="1" xfId="0" applyNumberFormat="1" applyFont="1" applyFill="1" applyBorder="1" applyAlignment="1">
      <alignment horizontal="center" vertical="center"/>
    </xf>
    <xf numFmtId="164" fontId="4" fillId="12" borderId="1" xfId="0" applyNumberFormat="1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left"/>
    </xf>
    <xf numFmtId="165" fontId="4" fillId="13" borderId="1" xfId="0" applyNumberFormat="1" applyFont="1" applyFill="1" applyBorder="1" applyAlignment="1">
      <alignment horizontal="center" vertical="center"/>
    </xf>
    <xf numFmtId="164" fontId="4" fillId="13" borderId="1" xfId="0" applyNumberFormat="1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left"/>
    </xf>
    <xf numFmtId="165" fontId="4" fillId="14" borderId="1" xfId="0" applyNumberFormat="1" applyFont="1" applyFill="1" applyBorder="1" applyAlignment="1">
      <alignment horizontal="center" vertical="center"/>
    </xf>
    <xf numFmtId="164" fontId="4" fillId="14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/>
    </xf>
    <xf numFmtId="0" fontId="5" fillId="5" borderId="1" xfId="0" applyFont="1" applyFill="1" applyBorder="1" applyAlignment="1">
      <alignment horizontal="left"/>
    </xf>
    <xf numFmtId="168" fontId="4" fillId="4" borderId="1" xfId="0" applyNumberFormat="1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10" customWidth="1"/>
    <col min="2" max="3" width="16" customWidth="1"/>
    <col min="4" max="4" width="14" customWidth="1"/>
    <col min="5" max="5" width="18" customWidth="1"/>
    <col min="6" max="6" width="14" customWidth="1"/>
    <col min="7" max="7" width="12" customWidth="1"/>
  </cols>
  <sheetData>
    <row r="1" spans="1:7" ht="30" customHeight="1" x14ac:dyDescent="0.25">
      <c r="A1" s="59" t="s">
        <v>0</v>
      </c>
      <c r="B1" s="58"/>
      <c r="C1" s="58"/>
      <c r="D1" s="58"/>
      <c r="E1" s="58"/>
      <c r="F1" s="58"/>
      <c r="G1" s="58"/>
    </row>
    <row r="2" spans="1:7" ht="18" customHeight="1" x14ac:dyDescent="0.25">
      <c r="A2" s="57" t="s">
        <v>1</v>
      </c>
      <c r="B2" s="58"/>
      <c r="C2" s="58"/>
      <c r="D2" s="58"/>
      <c r="E2" s="58"/>
      <c r="F2" s="58"/>
      <c r="G2" s="58"/>
    </row>
    <row r="3" spans="1:7" ht="21.95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25">
      <c r="A4" s="2" t="s">
        <v>9</v>
      </c>
      <c r="B4" s="3">
        <v>6282</v>
      </c>
      <c r="C4" s="4" t="s">
        <v>10</v>
      </c>
      <c r="D4" s="3">
        <v>1382</v>
      </c>
      <c r="E4" s="5">
        <f t="shared" ref="E4:E11" si="0">D4/B4</f>
        <v>0.21999363260108246</v>
      </c>
      <c r="F4" s="6">
        <v>6.3019999999999996</v>
      </c>
      <c r="G4" s="7">
        <v>11377</v>
      </c>
    </row>
    <row r="5" spans="1:7" x14ac:dyDescent="0.25">
      <c r="A5" s="8" t="s">
        <v>11</v>
      </c>
      <c r="B5" s="9">
        <v>6964</v>
      </c>
      <c r="C5" s="10">
        <f t="shared" ref="C5:C11" si="1">((B5-B4)/B4)</f>
        <v>0.10856415154409424</v>
      </c>
      <c r="D5" s="9">
        <v>1601</v>
      </c>
      <c r="E5" s="10">
        <f t="shared" si="0"/>
        <v>0.22989661114302126</v>
      </c>
      <c r="F5" s="11">
        <v>6.79</v>
      </c>
      <c r="G5" s="12">
        <v>11886</v>
      </c>
    </row>
    <row r="6" spans="1:7" x14ac:dyDescent="0.25">
      <c r="A6" s="2" t="s">
        <v>12</v>
      </c>
      <c r="B6" s="3">
        <v>7528</v>
      </c>
      <c r="C6" s="5">
        <f t="shared" si="1"/>
        <v>8.0987937966685811E-2</v>
      </c>
      <c r="D6" s="3">
        <v>1807</v>
      </c>
      <c r="E6" s="5">
        <f t="shared" si="0"/>
        <v>0.24003719447396388</v>
      </c>
      <c r="F6" s="6">
        <v>7.5</v>
      </c>
      <c r="G6" s="7">
        <v>12239</v>
      </c>
    </row>
    <row r="7" spans="1:7" x14ac:dyDescent="0.25">
      <c r="A7" s="8" t="s">
        <v>13</v>
      </c>
      <c r="B7" s="9">
        <v>6311</v>
      </c>
      <c r="C7" s="10">
        <f t="shared" si="1"/>
        <v>-0.16166312433581295</v>
      </c>
      <c r="D7" s="9">
        <v>1388</v>
      </c>
      <c r="E7" s="10">
        <f t="shared" si="0"/>
        <v>0.21993344953256219</v>
      </c>
      <c r="F7" s="11">
        <v>7.9</v>
      </c>
      <c r="G7" s="12">
        <v>12317</v>
      </c>
    </row>
    <row r="8" spans="1:7" x14ac:dyDescent="0.25">
      <c r="A8" s="2" t="s">
        <v>14</v>
      </c>
      <c r="B8" s="3">
        <v>8869</v>
      </c>
      <c r="C8" s="5">
        <f t="shared" si="1"/>
        <v>0.40532403739502454</v>
      </c>
      <c r="D8" s="3">
        <v>2217</v>
      </c>
      <c r="E8" s="5">
        <f t="shared" si="0"/>
        <v>0.24997181192919157</v>
      </c>
      <c r="F8" s="6">
        <v>9.8000000000000007</v>
      </c>
      <c r="G8" s="7">
        <v>13617</v>
      </c>
    </row>
    <row r="9" spans="1:7" x14ac:dyDescent="0.25">
      <c r="A9" s="8" t="s">
        <v>15</v>
      </c>
      <c r="B9" s="9">
        <v>9690</v>
      </c>
      <c r="C9" s="10">
        <f t="shared" si="1"/>
        <v>9.2569624534896838E-2</v>
      </c>
      <c r="D9" s="9">
        <v>2327</v>
      </c>
      <c r="E9" s="10">
        <f t="shared" si="0"/>
        <v>0.24014447884416926</v>
      </c>
      <c r="F9" s="11">
        <v>11.582000000000001</v>
      </c>
      <c r="G9" s="12">
        <v>15779</v>
      </c>
    </row>
    <row r="10" spans="1:7" x14ac:dyDescent="0.25">
      <c r="A10" s="2" t="s">
        <v>16</v>
      </c>
      <c r="B10" s="3">
        <v>10553</v>
      </c>
      <c r="C10" s="5">
        <f t="shared" si="1"/>
        <v>8.9060887512899894E-2</v>
      </c>
      <c r="D10" s="3">
        <v>2638</v>
      </c>
      <c r="E10" s="5">
        <f t="shared" si="0"/>
        <v>0.24997631005401308</v>
      </c>
      <c r="F10" s="6">
        <v>12.138</v>
      </c>
      <c r="G10" s="7">
        <v>17849</v>
      </c>
    </row>
    <row r="11" spans="1:7" x14ac:dyDescent="0.25">
      <c r="A11" s="8" t="s">
        <v>17</v>
      </c>
      <c r="B11" s="9">
        <v>11200</v>
      </c>
      <c r="C11" s="10">
        <f t="shared" si="1"/>
        <v>6.1309580214157111E-2</v>
      </c>
      <c r="D11" s="9">
        <v>2912</v>
      </c>
      <c r="E11" s="10">
        <f t="shared" si="0"/>
        <v>0.26</v>
      </c>
      <c r="F11" s="11">
        <v>13.1</v>
      </c>
      <c r="G11" s="12">
        <v>18500</v>
      </c>
    </row>
    <row r="12" spans="1:7" x14ac:dyDescent="0.25">
      <c r="A12" s="13" t="s">
        <v>18</v>
      </c>
      <c r="B12" s="14">
        <f>SUM(B4:B11)</f>
        <v>67397</v>
      </c>
      <c r="C12" s="15">
        <f>AVERAGE(C5:C11)</f>
        <v>9.6593299261706483E-2</v>
      </c>
      <c r="D12" s="14">
        <f>SUM(D4:D11)</f>
        <v>16272</v>
      </c>
      <c r="E12" s="15">
        <f>AVERAGE(E4:E11)</f>
        <v>0.23874418607225048</v>
      </c>
      <c r="F12" s="16">
        <f>SUM(F4:F11)</f>
        <v>75.111999999999995</v>
      </c>
      <c r="G12" s="17">
        <f>MAX(G4:G11)</f>
        <v>18500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22" customWidth="1"/>
    <col min="2" max="2" width="16" customWidth="1"/>
    <col min="3" max="3" width="18" customWidth="1"/>
    <col min="4" max="4" width="14" customWidth="1"/>
    <col min="5" max="5" width="16" customWidth="1"/>
  </cols>
  <sheetData>
    <row r="1" spans="1:5" ht="30" customHeight="1" x14ac:dyDescent="0.25">
      <c r="A1" s="59" t="s">
        <v>19</v>
      </c>
      <c r="B1" s="58"/>
      <c r="C1" s="58"/>
      <c r="D1" s="58"/>
      <c r="E1" s="58"/>
    </row>
    <row r="2" spans="1:5" ht="18" customHeight="1" x14ac:dyDescent="0.25">
      <c r="A2" s="57" t="s">
        <v>20</v>
      </c>
      <c r="B2" s="58"/>
      <c r="C2" s="58"/>
      <c r="D2" s="58"/>
      <c r="E2" s="58"/>
    </row>
    <row r="3" spans="1:5" ht="21.95" customHeight="1" x14ac:dyDescent="0.25">
      <c r="A3" s="1" t="s">
        <v>21</v>
      </c>
      <c r="B3" s="1" t="s">
        <v>3</v>
      </c>
      <c r="C3" s="1" t="s">
        <v>22</v>
      </c>
      <c r="D3" s="1" t="s">
        <v>7</v>
      </c>
      <c r="E3" s="1" t="s">
        <v>4</v>
      </c>
    </row>
    <row r="4" spans="1:5" x14ac:dyDescent="0.25">
      <c r="A4" s="18" t="s">
        <v>23</v>
      </c>
      <c r="B4" s="3">
        <v>4256</v>
      </c>
      <c r="C4" s="5">
        <f t="shared" ref="C4:C9" si="0">B4/SUM($B$4:$B$9)</f>
        <v>0.38</v>
      </c>
      <c r="D4" s="19">
        <v>4.9800000000000004</v>
      </c>
      <c r="E4" s="5">
        <v>6.2E-2</v>
      </c>
    </row>
    <row r="5" spans="1:5" x14ac:dyDescent="0.25">
      <c r="A5" s="20" t="s">
        <v>24</v>
      </c>
      <c r="B5" s="9">
        <v>3136</v>
      </c>
      <c r="C5" s="10">
        <f t="shared" si="0"/>
        <v>0.28000000000000003</v>
      </c>
      <c r="D5" s="21">
        <v>3.67</v>
      </c>
      <c r="E5" s="10">
        <v>7.0999999999999994E-2</v>
      </c>
    </row>
    <row r="6" spans="1:5" x14ac:dyDescent="0.25">
      <c r="A6" s="18" t="s">
        <v>25</v>
      </c>
      <c r="B6" s="3">
        <v>1792</v>
      </c>
      <c r="C6" s="5">
        <f t="shared" si="0"/>
        <v>0.16</v>
      </c>
      <c r="D6" s="19">
        <v>2.1</v>
      </c>
      <c r="E6" s="5">
        <v>8.8999999999999996E-2</v>
      </c>
    </row>
    <row r="7" spans="1:5" x14ac:dyDescent="0.25">
      <c r="A7" s="20" t="s">
        <v>26</v>
      </c>
      <c r="B7" s="9">
        <v>896</v>
      </c>
      <c r="C7" s="10">
        <f t="shared" si="0"/>
        <v>0.08</v>
      </c>
      <c r="D7" s="21">
        <v>1.05</v>
      </c>
      <c r="E7" s="10">
        <v>9.5000000000000001E-2</v>
      </c>
    </row>
    <row r="8" spans="1:5" x14ac:dyDescent="0.25">
      <c r="A8" s="18" t="s">
        <v>27</v>
      </c>
      <c r="B8" s="3">
        <v>672</v>
      </c>
      <c r="C8" s="5">
        <f t="shared" si="0"/>
        <v>0.06</v>
      </c>
      <c r="D8" s="19">
        <v>0.79</v>
      </c>
      <c r="E8" s="5">
        <v>8.1000000000000003E-2</v>
      </c>
    </row>
    <row r="9" spans="1:5" x14ac:dyDescent="0.25">
      <c r="A9" s="20" t="s">
        <v>28</v>
      </c>
      <c r="B9" s="9">
        <v>448</v>
      </c>
      <c r="C9" s="10">
        <f t="shared" si="0"/>
        <v>0.04</v>
      </c>
      <c r="D9" s="21">
        <v>0.52</v>
      </c>
      <c r="E9" s="10">
        <v>5.3999999999999999E-2</v>
      </c>
    </row>
    <row r="10" spans="1:5" x14ac:dyDescent="0.25">
      <c r="A10" s="13" t="s">
        <v>29</v>
      </c>
      <c r="B10" s="14">
        <f>SUM(B4:B9)</f>
        <v>11200</v>
      </c>
      <c r="C10" s="15">
        <f>SUM(C4:C9)</f>
        <v>1</v>
      </c>
      <c r="D10" s="22">
        <f>SUM(D4:D9)</f>
        <v>13.11</v>
      </c>
      <c r="E10" s="15">
        <f>AVERAGE(E4:E9)</f>
        <v>7.5333333333333335E-2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16" customWidth="1"/>
    <col min="2" max="4" width="22" customWidth="1"/>
    <col min="5" max="5" width="18" customWidth="1"/>
  </cols>
  <sheetData>
    <row r="1" spans="1:5" ht="30" customHeight="1" x14ac:dyDescent="0.25">
      <c r="A1" s="59" t="s">
        <v>30</v>
      </c>
      <c r="B1" s="58"/>
      <c r="C1" s="58"/>
      <c r="D1" s="58"/>
      <c r="E1" s="58"/>
    </row>
    <row r="2" spans="1:5" ht="18" customHeight="1" x14ac:dyDescent="0.25">
      <c r="A2" s="57" t="s">
        <v>31</v>
      </c>
      <c r="B2" s="58"/>
      <c r="C2" s="58"/>
      <c r="D2" s="58"/>
      <c r="E2" s="58"/>
    </row>
    <row r="3" spans="1:5" ht="21.95" customHeight="1" x14ac:dyDescent="0.25">
      <c r="A3" s="1" t="s">
        <v>32</v>
      </c>
      <c r="B3" s="1" t="s">
        <v>33</v>
      </c>
      <c r="C3" s="1" t="s">
        <v>34</v>
      </c>
      <c r="D3" s="1" t="s">
        <v>35</v>
      </c>
      <c r="E3" s="1" t="s">
        <v>36</v>
      </c>
    </row>
    <row r="4" spans="1:5" x14ac:dyDescent="0.25">
      <c r="A4" s="23" t="s">
        <v>37</v>
      </c>
      <c r="B4" s="24" t="s">
        <v>38</v>
      </c>
      <c r="C4" s="25">
        <v>0.38100000000000001</v>
      </c>
      <c r="D4" s="25">
        <v>0.24199999999999999</v>
      </c>
      <c r="E4" s="26">
        <v>11.2</v>
      </c>
    </row>
    <row r="5" spans="1:5" x14ac:dyDescent="0.25">
      <c r="A5" s="27" t="s">
        <v>39</v>
      </c>
      <c r="B5" s="27" t="s">
        <v>40</v>
      </c>
      <c r="C5" s="10">
        <v>0.28599999999999998</v>
      </c>
      <c r="D5" s="10">
        <v>0.29799999999999999</v>
      </c>
      <c r="E5" s="28">
        <v>8.4</v>
      </c>
    </row>
    <row r="6" spans="1:5" x14ac:dyDescent="0.25">
      <c r="A6" s="29" t="s">
        <v>41</v>
      </c>
      <c r="B6" s="29" t="s">
        <v>42</v>
      </c>
      <c r="C6" s="5">
        <v>7.3999999999999996E-2</v>
      </c>
      <c r="D6" s="5">
        <v>8.8999999999999996E-2</v>
      </c>
      <c r="E6" s="30">
        <v>2.2000000000000002</v>
      </c>
    </row>
    <row r="7" spans="1:5" x14ac:dyDescent="0.25">
      <c r="A7" s="27" t="s">
        <v>43</v>
      </c>
      <c r="B7" s="27" t="s">
        <v>44</v>
      </c>
      <c r="C7" s="10">
        <v>3.2000000000000001E-2</v>
      </c>
      <c r="D7" s="10">
        <v>4.1000000000000002E-2</v>
      </c>
      <c r="E7" s="28">
        <v>0.9</v>
      </c>
    </row>
    <row r="8" spans="1:5" x14ac:dyDescent="0.25">
      <c r="A8" s="29" t="s">
        <v>45</v>
      </c>
      <c r="B8" s="29" t="s">
        <v>46</v>
      </c>
      <c r="C8" s="5">
        <v>2.8000000000000001E-2</v>
      </c>
      <c r="D8" s="5">
        <v>1.9E-2</v>
      </c>
      <c r="E8" s="30">
        <v>0.8</v>
      </c>
    </row>
    <row r="9" spans="1:5" x14ac:dyDescent="0.25">
      <c r="A9" s="27" t="s">
        <v>47</v>
      </c>
      <c r="B9" s="27" t="s">
        <v>44</v>
      </c>
      <c r="C9" s="10">
        <v>2.5999999999999999E-2</v>
      </c>
      <c r="D9" s="10">
        <v>3.1E-2</v>
      </c>
      <c r="E9" s="28">
        <v>0.8</v>
      </c>
    </row>
    <row r="10" spans="1:5" x14ac:dyDescent="0.25">
      <c r="A10" s="29" t="s">
        <v>48</v>
      </c>
      <c r="B10" s="29" t="s">
        <v>49</v>
      </c>
      <c r="C10" s="5">
        <v>4.1000000000000002E-2</v>
      </c>
      <c r="D10" s="5">
        <v>3.7999999999999999E-2</v>
      </c>
      <c r="E10" s="30">
        <v>1.2</v>
      </c>
    </row>
    <row r="11" spans="1:5" x14ac:dyDescent="0.25">
      <c r="A11" s="27" t="s">
        <v>50</v>
      </c>
      <c r="B11" s="27" t="s">
        <v>51</v>
      </c>
      <c r="C11" s="10">
        <v>0.13200000000000001</v>
      </c>
      <c r="D11" s="10">
        <v>0.24199999999999999</v>
      </c>
      <c r="E11" s="28">
        <v>3.9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26" customWidth="1"/>
    <col min="2" max="2" width="14" customWidth="1"/>
    <col min="3" max="3" width="16" customWidth="1"/>
    <col min="4" max="4" width="50" customWidth="1"/>
  </cols>
  <sheetData>
    <row r="1" spans="1:4" ht="30" customHeight="1" x14ac:dyDescent="0.25">
      <c r="A1" s="59" t="s">
        <v>52</v>
      </c>
      <c r="B1" s="58"/>
      <c r="C1" s="58"/>
      <c r="D1" s="58"/>
    </row>
    <row r="2" spans="1:4" ht="18" customHeight="1" x14ac:dyDescent="0.25">
      <c r="A2" s="57" t="s">
        <v>53</v>
      </c>
      <c r="B2" s="58"/>
      <c r="C2" s="58"/>
      <c r="D2" s="58"/>
    </row>
    <row r="3" spans="1:4" ht="21.95" customHeight="1" x14ac:dyDescent="0.25">
      <c r="A3" s="1" t="s">
        <v>54</v>
      </c>
      <c r="B3" s="1" t="s">
        <v>55</v>
      </c>
      <c r="C3" s="1" t="s">
        <v>56</v>
      </c>
      <c r="D3" s="1" t="s">
        <v>57</v>
      </c>
    </row>
    <row r="4" spans="1:4" x14ac:dyDescent="0.25">
      <c r="A4" s="29" t="s">
        <v>58</v>
      </c>
      <c r="B4" s="3">
        <v>580</v>
      </c>
      <c r="C4" s="5">
        <f t="shared" ref="C4:C12" si="0">B4/11200</f>
        <v>5.1785714285714289E-2</v>
      </c>
      <c r="D4" s="29" t="s">
        <v>59</v>
      </c>
    </row>
    <row r="5" spans="1:4" x14ac:dyDescent="0.25">
      <c r="A5" s="27" t="s">
        <v>60</v>
      </c>
      <c r="B5" s="9">
        <v>420</v>
      </c>
      <c r="C5" s="10">
        <f t="shared" si="0"/>
        <v>3.7499999999999999E-2</v>
      </c>
      <c r="D5" s="27" t="s">
        <v>61</v>
      </c>
    </row>
    <row r="6" spans="1:4" x14ac:dyDescent="0.25">
      <c r="A6" s="29" t="s">
        <v>62</v>
      </c>
      <c r="B6" s="3">
        <v>310</v>
      </c>
      <c r="C6" s="5">
        <f t="shared" si="0"/>
        <v>2.7678571428571427E-2</v>
      </c>
      <c r="D6" s="29" t="s">
        <v>63</v>
      </c>
    </row>
    <row r="7" spans="1:4" x14ac:dyDescent="0.25">
      <c r="A7" s="27" t="s">
        <v>64</v>
      </c>
      <c r="B7" s="9">
        <v>280</v>
      </c>
      <c r="C7" s="10">
        <f t="shared" si="0"/>
        <v>2.5000000000000001E-2</v>
      </c>
      <c r="D7" s="27" t="s">
        <v>65</v>
      </c>
    </row>
    <row r="8" spans="1:4" x14ac:dyDescent="0.25">
      <c r="A8" s="29" t="s">
        <v>66</v>
      </c>
      <c r="B8" s="3">
        <v>260</v>
      </c>
      <c r="C8" s="5">
        <f t="shared" si="0"/>
        <v>2.3214285714285715E-2</v>
      </c>
      <c r="D8" s="29" t="s">
        <v>67</v>
      </c>
    </row>
    <row r="9" spans="1:4" x14ac:dyDescent="0.25">
      <c r="A9" s="27" t="s">
        <v>68</v>
      </c>
      <c r="B9" s="9">
        <v>200</v>
      </c>
      <c r="C9" s="10">
        <f t="shared" si="0"/>
        <v>1.7857142857142856E-2</v>
      </c>
      <c r="D9" s="27" t="s">
        <v>69</v>
      </c>
    </row>
    <row r="10" spans="1:4" x14ac:dyDescent="0.25">
      <c r="A10" s="29" t="s">
        <v>70</v>
      </c>
      <c r="B10" s="3">
        <v>190</v>
      </c>
      <c r="C10" s="5">
        <f t="shared" si="0"/>
        <v>1.6964285714285713E-2</v>
      </c>
      <c r="D10" s="29" t="s">
        <v>71</v>
      </c>
    </row>
    <row r="11" spans="1:4" x14ac:dyDescent="0.25">
      <c r="A11" s="27" t="s">
        <v>72</v>
      </c>
      <c r="B11" s="9">
        <v>100</v>
      </c>
      <c r="C11" s="10">
        <f t="shared" si="0"/>
        <v>8.9285714285714281E-3</v>
      </c>
      <c r="D11" s="27" t="s">
        <v>73</v>
      </c>
    </row>
    <row r="12" spans="1:4" x14ac:dyDescent="0.25">
      <c r="A12" s="29" t="s">
        <v>74</v>
      </c>
      <c r="B12" s="3">
        <v>60</v>
      </c>
      <c r="C12" s="5">
        <f t="shared" si="0"/>
        <v>5.3571428571428572E-3</v>
      </c>
      <c r="D12" s="29" t="s">
        <v>75</v>
      </c>
    </row>
    <row r="13" spans="1:4" x14ac:dyDescent="0.25">
      <c r="A13" s="13" t="s">
        <v>76</v>
      </c>
      <c r="B13" s="14">
        <f>SUM(B4:B12)</f>
        <v>2400</v>
      </c>
      <c r="C13" s="15">
        <f>SUM(C4:C12)</f>
        <v>0.21428571428571427</v>
      </c>
      <c r="D13" s="31" t="s">
        <v>77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38" customWidth="1"/>
    <col min="2" max="2" width="12" customWidth="1"/>
    <col min="3" max="3" width="18" customWidth="1"/>
    <col min="4" max="5" width="14" customWidth="1"/>
  </cols>
  <sheetData>
    <row r="1" spans="1:5" ht="30" customHeight="1" x14ac:dyDescent="0.25">
      <c r="A1" s="59" t="s">
        <v>78</v>
      </c>
      <c r="B1" s="58"/>
      <c r="C1" s="58"/>
      <c r="D1" s="58"/>
      <c r="E1" s="58"/>
    </row>
    <row r="2" spans="1:5" ht="18" customHeight="1" x14ac:dyDescent="0.25">
      <c r="A2" s="57" t="s">
        <v>79</v>
      </c>
      <c r="B2" s="58"/>
      <c r="C2" s="58"/>
      <c r="D2" s="58"/>
      <c r="E2" s="58"/>
    </row>
    <row r="3" spans="1:5" ht="21.95" customHeight="1" x14ac:dyDescent="0.25">
      <c r="A3" s="1" t="s">
        <v>80</v>
      </c>
      <c r="B3" s="1" t="s">
        <v>81</v>
      </c>
      <c r="C3" s="1" t="s">
        <v>82</v>
      </c>
      <c r="D3" s="1" t="s">
        <v>83</v>
      </c>
      <c r="E3" s="1" t="s">
        <v>84</v>
      </c>
    </row>
    <row r="4" spans="1:5" x14ac:dyDescent="0.25">
      <c r="A4" s="32" t="s">
        <v>85</v>
      </c>
      <c r="B4" s="32" t="s">
        <v>86</v>
      </c>
      <c r="C4" s="33">
        <v>6720</v>
      </c>
      <c r="D4" s="34">
        <f t="shared" ref="D4:D13" si="0">C4/SUM($C$4:$C$13)</f>
        <v>0.6344410876132931</v>
      </c>
      <c r="E4" s="32" t="s">
        <v>87</v>
      </c>
    </row>
    <row r="5" spans="1:5" x14ac:dyDescent="0.25">
      <c r="A5" s="32" t="s">
        <v>88</v>
      </c>
      <c r="B5" s="32" t="s">
        <v>86</v>
      </c>
      <c r="C5" s="33">
        <v>2352</v>
      </c>
      <c r="D5" s="34">
        <f t="shared" si="0"/>
        <v>0.22205438066465258</v>
      </c>
      <c r="E5" s="32" t="s">
        <v>89</v>
      </c>
    </row>
    <row r="6" spans="1:5" x14ac:dyDescent="0.25">
      <c r="A6" s="32" t="s">
        <v>90</v>
      </c>
      <c r="B6" s="32" t="s">
        <v>86</v>
      </c>
      <c r="C6" s="33">
        <v>448</v>
      </c>
      <c r="D6" s="34">
        <f t="shared" si="0"/>
        <v>4.2296072507552872E-2</v>
      </c>
      <c r="E6" s="32" t="s">
        <v>91</v>
      </c>
    </row>
    <row r="7" spans="1:5" x14ac:dyDescent="0.25">
      <c r="A7" s="35" t="s">
        <v>92</v>
      </c>
      <c r="B7" s="35" t="s">
        <v>93</v>
      </c>
      <c r="C7" s="36">
        <v>224</v>
      </c>
      <c r="D7" s="37">
        <f t="shared" si="0"/>
        <v>2.1148036253776436E-2</v>
      </c>
      <c r="E7" s="35" t="s">
        <v>89</v>
      </c>
    </row>
    <row r="8" spans="1:5" x14ac:dyDescent="0.25">
      <c r="A8" s="38" t="s">
        <v>94</v>
      </c>
      <c r="B8" s="38" t="s">
        <v>95</v>
      </c>
      <c r="C8" s="39">
        <v>336</v>
      </c>
      <c r="D8" s="40">
        <f t="shared" si="0"/>
        <v>3.1722054380664652E-2</v>
      </c>
      <c r="E8" s="38" t="s">
        <v>89</v>
      </c>
    </row>
    <row r="9" spans="1:5" x14ac:dyDescent="0.25">
      <c r="A9" s="41" t="s">
        <v>96</v>
      </c>
      <c r="B9" s="41" t="s">
        <v>97</v>
      </c>
      <c r="C9" s="42">
        <v>56</v>
      </c>
      <c r="D9" s="43">
        <f t="shared" si="0"/>
        <v>5.287009063444109E-3</v>
      </c>
      <c r="E9" s="41" t="s">
        <v>98</v>
      </c>
    </row>
    <row r="10" spans="1:5" x14ac:dyDescent="0.25">
      <c r="A10" s="44" t="s">
        <v>99</v>
      </c>
      <c r="B10" s="44" t="s">
        <v>100</v>
      </c>
      <c r="C10" s="45">
        <v>64</v>
      </c>
      <c r="D10" s="46">
        <f t="shared" si="0"/>
        <v>6.0422960725075529E-3</v>
      </c>
      <c r="E10" s="44" t="s">
        <v>98</v>
      </c>
    </row>
    <row r="11" spans="1:5" x14ac:dyDescent="0.25">
      <c r="A11" s="47" t="s">
        <v>101</v>
      </c>
      <c r="B11" s="47" t="s">
        <v>102</v>
      </c>
      <c r="C11" s="48">
        <v>224</v>
      </c>
      <c r="D11" s="49">
        <f t="shared" si="0"/>
        <v>2.1148036253776436E-2</v>
      </c>
      <c r="E11" s="47" t="s">
        <v>87</v>
      </c>
    </row>
    <row r="12" spans="1:5" x14ac:dyDescent="0.25">
      <c r="A12" s="35" t="s">
        <v>103</v>
      </c>
      <c r="B12" s="35" t="s">
        <v>93</v>
      </c>
      <c r="C12" s="36">
        <v>112</v>
      </c>
      <c r="D12" s="37">
        <f t="shared" si="0"/>
        <v>1.0574018126888218E-2</v>
      </c>
      <c r="E12" s="35" t="s">
        <v>91</v>
      </c>
    </row>
    <row r="13" spans="1:5" x14ac:dyDescent="0.25">
      <c r="A13" s="50" t="s">
        <v>104</v>
      </c>
      <c r="B13" s="50" t="s">
        <v>105</v>
      </c>
      <c r="C13" s="51">
        <v>56</v>
      </c>
      <c r="D13" s="52">
        <f t="shared" si="0"/>
        <v>5.287009063444109E-3</v>
      </c>
      <c r="E13" s="50" t="s">
        <v>91</v>
      </c>
    </row>
    <row r="14" spans="1:5" x14ac:dyDescent="0.25">
      <c r="A14" s="13" t="s">
        <v>106</v>
      </c>
      <c r="B14" s="13"/>
      <c r="C14" s="14">
        <f>SUM(C4:C13)</f>
        <v>10592</v>
      </c>
      <c r="D14" s="15">
        <f>SUM(D4:D13)</f>
        <v>1</v>
      </c>
      <c r="E14" s="13"/>
    </row>
  </sheetData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2" width="8" customWidth="1"/>
    <col min="3" max="6" width="14" customWidth="1"/>
  </cols>
  <sheetData>
    <row r="1" spans="1:6" ht="30" customHeight="1" x14ac:dyDescent="0.25">
      <c r="A1" s="59" t="s">
        <v>107</v>
      </c>
      <c r="B1" s="58"/>
      <c r="C1" s="58"/>
      <c r="D1" s="58"/>
      <c r="E1" s="58"/>
      <c r="F1" s="58"/>
    </row>
    <row r="2" spans="1:6" ht="18" customHeight="1" x14ac:dyDescent="0.25">
      <c r="A2" s="57" t="s">
        <v>108</v>
      </c>
      <c r="B2" s="58"/>
      <c r="C2" s="58"/>
      <c r="D2" s="58"/>
      <c r="E2" s="58"/>
      <c r="F2" s="58"/>
    </row>
    <row r="3" spans="1:6" ht="21.95" customHeight="1" x14ac:dyDescent="0.25">
      <c r="A3" s="1" t="s">
        <v>109</v>
      </c>
      <c r="B3" s="1" t="s">
        <v>2</v>
      </c>
      <c r="C3" s="1" t="s">
        <v>3</v>
      </c>
      <c r="D3" s="1" t="s">
        <v>110</v>
      </c>
      <c r="E3" s="1" t="s">
        <v>111</v>
      </c>
      <c r="F3" s="1" t="s">
        <v>4</v>
      </c>
    </row>
    <row r="4" spans="1:6" x14ac:dyDescent="0.25">
      <c r="A4" s="4" t="s">
        <v>112</v>
      </c>
      <c r="B4" s="4" t="s">
        <v>15</v>
      </c>
      <c r="C4" s="3">
        <v>2180</v>
      </c>
      <c r="D4" s="7">
        <v>2605</v>
      </c>
      <c r="E4" s="4" t="s">
        <v>10</v>
      </c>
      <c r="F4" s="4" t="s">
        <v>10</v>
      </c>
    </row>
    <row r="5" spans="1:6" x14ac:dyDescent="0.25">
      <c r="A5" s="53" t="s">
        <v>113</v>
      </c>
      <c r="B5" s="53" t="s">
        <v>15</v>
      </c>
      <c r="C5" s="9">
        <v>2520</v>
      </c>
      <c r="D5" s="12">
        <v>3010</v>
      </c>
      <c r="E5" s="10">
        <f t="shared" ref="E5:E15" si="0">(C5-C4)/C4</f>
        <v>0.15596330275229359</v>
      </c>
      <c r="F5" s="53" t="s">
        <v>10</v>
      </c>
    </row>
    <row r="6" spans="1:6" x14ac:dyDescent="0.25">
      <c r="A6" s="4" t="s">
        <v>114</v>
      </c>
      <c r="B6" s="4" t="s">
        <v>15</v>
      </c>
      <c r="C6" s="3">
        <v>2380</v>
      </c>
      <c r="D6" s="7">
        <v>2842</v>
      </c>
      <c r="E6" s="5">
        <f t="shared" si="0"/>
        <v>-5.5555555555555552E-2</v>
      </c>
      <c r="F6" s="4" t="s">
        <v>10</v>
      </c>
    </row>
    <row r="7" spans="1:6" x14ac:dyDescent="0.25">
      <c r="A7" s="53" t="s">
        <v>115</v>
      </c>
      <c r="B7" s="53" t="s">
        <v>15</v>
      </c>
      <c r="C7" s="9">
        <v>2610</v>
      </c>
      <c r="D7" s="12">
        <v>3115</v>
      </c>
      <c r="E7" s="10">
        <f t="shared" si="0"/>
        <v>9.6638655462184878E-2</v>
      </c>
      <c r="F7" s="53" t="s">
        <v>10</v>
      </c>
    </row>
    <row r="8" spans="1:6" x14ac:dyDescent="0.25">
      <c r="A8" s="4" t="s">
        <v>112</v>
      </c>
      <c r="B8" s="4" t="s">
        <v>16</v>
      </c>
      <c r="C8" s="3">
        <v>2410</v>
      </c>
      <c r="D8" s="7">
        <v>2876</v>
      </c>
      <c r="E8" s="5">
        <f t="shared" si="0"/>
        <v>-7.662835249042145E-2</v>
      </c>
      <c r="F8" s="5">
        <f t="shared" ref="F8:F15" si="1">(C8-C4)/C4</f>
        <v>0.10550458715596331</v>
      </c>
    </row>
    <row r="9" spans="1:6" x14ac:dyDescent="0.25">
      <c r="A9" s="53" t="s">
        <v>113</v>
      </c>
      <c r="B9" s="53" t="s">
        <v>16</v>
      </c>
      <c r="C9" s="9">
        <v>2780</v>
      </c>
      <c r="D9" s="12">
        <v>3320</v>
      </c>
      <c r="E9" s="10">
        <f t="shared" si="0"/>
        <v>0.15352697095435686</v>
      </c>
      <c r="F9" s="10">
        <f t="shared" si="1"/>
        <v>0.10317460317460317</v>
      </c>
    </row>
    <row r="10" spans="1:6" x14ac:dyDescent="0.25">
      <c r="A10" s="4" t="s">
        <v>114</v>
      </c>
      <c r="B10" s="4" t="s">
        <v>16</v>
      </c>
      <c r="C10" s="3">
        <v>2620</v>
      </c>
      <c r="D10" s="7">
        <v>3130</v>
      </c>
      <c r="E10" s="5">
        <f t="shared" si="0"/>
        <v>-5.7553956834532377E-2</v>
      </c>
      <c r="F10" s="5">
        <f t="shared" si="1"/>
        <v>0.10084033613445378</v>
      </c>
    </row>
    <row r="11" spans="1:6" x14ac:dyDescent="0.25">
      <c r="A11" s="53" t="s">
        <v>115</v>
      </c>
      <c r="B11" s="53" t="s">
        <v>16</v>
      </c>
      <c r="C11" s="9">
        <v>2743</v>
      </c>
      <c r="D11" s="12">
        <v>3275</v>
      </c>
      <c r="E11" s="10">
        <f t="shared" si="0"/>
        <v>4.6946564885496186E-2</v>
      </c>
      <c r="F11" s="10">
        <f t="shared" si="1"/>
        <v>5.0957854406130265E-2</v>
      </c>
    </row>
    <row r="12" spans="1:6" x14ac:dyDescent="0.25">
      <c r="A12" s="4" t="s">
        <v>112</v>
      </c>
      <c r="B12" s="4" t="s">
        <v>17</v>
      </c>
      <c r="C12" s="3">
        <v>2580</v>
      </c>
      <c r="D12" s="7">
        <v>3080</v>
      </c>
      <c r="E12" s="5">
        <f t="shared" si="0"/>
        <v>-5.9423988333940941E-2</v>
      </c>
      <c r="F12" s="5">
        <f t="shared" si="1"/>
        <v>7.0539419087136929E-2</v>
      </c>
    </row>
    <row r="13" spans="1:6" x14ac:dyDescent="0.25">
      <c r="A13" s="53" t="s">
        <v>113</v>
      </c>
      <c r="B13" s="53" t="s">
        <v>17</v>
      </c>
      <c r="C13" s="9">
        <v>2990</v>
      </c>
      <c r="D13" s="12">
        <v>3570</v>
      </c>
      <c r="E13" s="10">
        <f t="shared" si="0"/>
        <v>0.15891472868217055</v>
      </c>
      <c r="F13" s="10">
        <f t="shared" si="1"/>
        <v>7.5539568345323743E-2</v>
      </c>
    </row>
    <row r="14" spans="1:6" x14ac:dyDescent="0.25">
      <c r="A14" s="4" t="s">
        <v>114</v>
      </c>
      <c r="B14" s="4" t="s">
        <v>17</v>
      </c>
      <c r="C14" s="3">
        <v>2820</v>
      </c>
      <c r="D14" s="7">
        <v>3370</v>
      </c>
      <c r="E14" s="5">
        <f t="shared" si="0"/>
        <v>-5.6856187290969896E-2</v>
      </c>
      <c r="F14" s="5">
        <f t="shared" si="1"/>
        <v>7.6335877862595422E-2</v>
      </c>
    </row>
    <row r="15" spans="1:6" x14ac:dyDescent="0.25">
      <c r="A15" s="53" t="s">
        <v>115</v>
      </c>
      <c r="B15" s="53" t="s">
        <v>17</v>
      </c>
      <c r="C15" s="9">
        <v>2810</v>
      </c>
      <c r="D15" s="12">
        <v>3354</v>
      </c>
      <c r="E15" s="10">
        <f t="shared" si="0"/>
        <v>-3.5460992907801418E-3</v>
      </c>
      <c r="F15" s="10">
        <f t="shared" si="1"/>
        <v>2.4425811155668976E-2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showGridLines="0" tabSelected="1" workbookViewId="0">
      <pane ySplit="3" topLeftCell="A4" activePane="bottomLeft" state="frozen"/>
      <selection pane="bottomLeft"/>
    </sheetView>
  </sheetViews>
  <sheetFormatPr defaultRowHeight="15" x14ac:dyDescent="0.25"/>
  <cols>
    <col min="1" max="1" width="26" customWidth="1"/>
    <col min="2" max="3" width="12" customWidth="1"/>
    <col min="4" max="4" width="36" customWidth="1"/>
  </cols>
  <sheetData>
    <row r="1" spans="1:4" ht="30" customHeight="1" x14ac:dyDescent="0.25">
      <c r="A1" s="59" t="s">
        <v>116</v>
      </c>
      <c r="B1" s="58"/>
      <c r="C1" s="58"/>
      <c r="D1" s="58"/>
    </row>
    <row r="2" spans="1:4" ht="18" customHeight="1" x14ac:dyDescent="0.25">
      <c r="A2" s="57" t="s">
        <v>117</v>
      </c>
      <c r="B2" s="58"/>
      <c r="C2" s="58"/>
      <c r="D2" s="58"/>
    </row>
    <row r="3" spans="1:4" ht="21.95" customHeight="1" x14ac:dyDescent="0.25">
      <c r="A3" s="1" t="s">
        <v>118</v>
      </c>
      <c r="B3" s="1" t="s">
        <v>119</v>
      </c>
      <c r="C3" s="1" t="s">
        <v>120</v>
      </c>
      <c r="D3" s="1" t="s">
        <v>121</v>
      </c>
    </row>
    <row r="4" spans="1:4" x14ac:dyDescent="0.25">
      <c r="A4" s="54" t="s">
        <v>122</v>
      </c>
      <c r="B4" s="3">
        <v>11200</v>
      </c>
      <c r="C4" s="4" t="s">
        <v>123</v>
      </c>
      <c r="D4" s="29" t="s">
        <v>124</v>
      </c>
    </row>
    <row r="5" spans="1:4" x14ac:dyDescent="0.25">
      <c r="A5" s="55" t="s">
        <v>125</v>
      </c>
      <c r="B5" s="10">
        <v>6.2E-2</v>
      </c>
      <c r="C5" s="53" t="s">
        <v>126</v>
      </c>
      <c r="D5" s="27" t="s">
        <v>127</v>
      </c>
    </row>
    <row r="6" spans="1:4" x14ac:dyDescent="0.25">
      <c r="A6" s="54" t="s">
        <v>128</v>
      </c>
      <c r="B6" s="4">
        <v>13.1</v>
      </c>
      <c r="C6" s="4" t="s">
        <v>129</v>
      </c>
      <c r="D6" s="29" t="s">
        <v>130</v>
      </c>
    </row>
    <row r="7" spans="1:4" x14ac:dyDescent="0.25">
      <c r="A7" s="55" t="s">
        <v>131</v>
      </c>
      <c r="B7" s="9">
        <v>2912</v>
      </c>
      <c r="C7" s="53" t="s">
        <v>123</v>
      </c>
      <c r="D7" s="27" t="s">
        <v>132</v>
      </c>
    </row>
    <row r="8" spans="1:4" x14ac:dyDescent="0.25">
      <c r="A8" s="54" t="s">
        <v>133</v>
      </c>
      <c r="B8" s="5">
        <v>0.26</v>
      </c>
      <c r="C8" s="4" t="s">
        <v>126</v>
      </c>
      <c r="D8" s="29" t="s">
        <v>134</v>
      </c>
    </row>
    <row r="9" spans="1:4" x14ac:dyDescent="0.25">
      <c r="A9" s="55" t="s">
        <v>135</v>
      </c>
      <c r="B9" s="53">
        <v>175</v>
      </c>
      <c r="C9" s="53" t="s">
        <v>136</v>
      </c>
      <c r="D9" s="27" t="s">
        <v>137</v>
      </c>
    </row>
    <row r="10" spans="1:4" x14ac:dyDescent="0.25">
      <c r="A10" s="54" t="s">
        <v>138</v>
      </c>
      <c r="B10" s="4">
        <v>18500</v>
      </c>
      <c r="C10" s="4" t="s">
        <v>139</v>
      </c>
      <c r="D10" s="29" t="s">
        <v>140</v>
      </c>
    </row>
    <row r="11" spans="1:4" x14ac:dyDescent="0.25">
      <c r="A11" s="55" t="s">
        <v>141</v>
      </c>
      <c r="B11" s="9">
        <v>2400</v>
      </c>
      <c r="C11" s="53" t="s">
        <v>123</v>
      </c>
      <c r="D11" s="27" t="s">
        <v>142</v>
      </c>
    </row>
    <row r="12" spans="1:4" x14ac:dyDescent="0.25">
      <c r="A12" s="54" t="s">
        <v>143</v>
      </c>
      <c r="B12" s="56">
        <v>0.85499999999999998</v>
      </c>
      <c r="C12" s="4" t="s">
        <v>144</v>
      </c>
      <c r="D12" s="29" t="s">
        <v>145</v>
      </c>
    </row>
    <row r="13" spans="1:4" x14ac:dyDescent="0.25">
      <c r="A13" s="55" t="s">
        <v>146</v>
      </c>
      <c r="B13" s="10">
        <v>0.38100000000000001</v>
      </c>
      <c r="C13" s="53" t="s">
        <v>126</v>
      </c>
      <c r="D13" s="27" t="s">
        <v>147</v>
      </c>
    </row>
    <row r="14" spans="1:4" x14ac:dyDescent="0.25">
      <c r="A14" s="54" t="s">
        <v>148</v>
      </c>
      <c r="B14" s="4">
        <v>6</v>
      </c>
      <c r="C14" s="4" t="s">
        <v>149</v>
      </c>
      <c r="D14" s="29" t="s">
        <v>150</v>
      </c>
    </row>
    <row r="15" spans="1:4" x14ac:dyDescent="0.25">
      <c r="A15" s="55" t="s">
        <v>151</v>
      </c>
      <c r="B15" s="53">
        <v>600</v>
      </c>
      <c r="C15" s="53" t="s">
        <v>149</v>
      </c>
      <c r="D15" s="27" t="s">
        <v>152</v>
      </c>
    </row>
    <row r="16" spans="1:4" x14ac:dyDescent="0.25">
      <c r="A16" s="54" t="s">
        <v>153</v>
      </c>
      <c r="B16" s="4">
        <v>12</v>
      </c>
      <c r="C16" s="4" t="s">
        <v>149</v>
      </c>
      <c r="D16" s="29" t="s">
        <v>154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Annual_Revenue</vt:lpstr>
      <vt:lpstr>Revenue_by_Region</vt:lpstr>
      <vt:lpstr>Market_Share</vt:lpstr>
      <vt:lpstr>Marketing_Spend</vt:lpstr>
      <vt:lpstr>Revenue_Streams</vt:lpstr>
      <vt:lpstr>Quarterly_Sales</vt:lpstr>
      <vt:lpstr>KPI_Summary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2026-06-22T05:24:37Z</dcterms:created>
  <dcterms:modified xsi:type="dcterms:W3CDTF">2026-06-22T09:31:37Z</dcterms:modified>
</cp:coreProperties>
</file>